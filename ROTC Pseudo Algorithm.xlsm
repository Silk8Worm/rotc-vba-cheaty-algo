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000dbcdb7e08006/FinTech/"/>
    </mc:Choice>
  </mc:AlternateContent>
  <xr:revisionPtr revIDLastSave="118" documentId="8_{ED3D7626-6CA0-4D34-869E-3529B12334ED}" xr6:coauthVersionLast="47" xr6:coauthVersionMax="47" xr10:uidLastSave="{A37C4143-6A39-447A-A977-4BFB9172CCF7}"/>
  <bookViews>
    <workbookView xWindow="-120" yWindow="-120" windowWidth="29040" windowHeight="16440" xr2:uid="{45392FC4-089D-4A4D-9248-2B0196AA44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" l="1"/>
  <c r="B10" i="1"/>
  <c r="B6" i="1"/>
  <c r="B2" i="1"/>
  <c r="A14" i="1"/>
  <c r="A10" i="1"/>
  <c r="A6" i="1"/>
  <c r="A2" i="1"/>
  <c r="M2" i="1"/>
  <c r="G21" i="1"/>
  <c r="E21" i="1"/>
  <c r="G20" i="1"/>
  <c r="G19" i="1"/>
  <c r="E19" i="1"/>
  <c r="C19" i="1"/>
  <c r="D20" i="1"/>
  <c r="B20" i="1"/>
  <c r="F20" i="1"/>
  <c r="D21" i="1"/>
  <c r="B21" i="1"/>
  <c r="F22" i="1"/>
  <c r="D22" i="1"/>
  <c r="B22" i="1"/>
  <c r="F19" i="1"/>
  <c r="D19" i="1"/>
  <c r="E20" i="1"/>
  <c r="C20" i="1"/>
  <c r="C21" i="1"/>
  <c r="E22" i="1"/>
  <c r="C22" i="1"/>
  <c r="F21" i="1"/>
  <c r="M4" i="1"/>
  <c r="M3" i="1"/>
  <c r="G22" i="1"/>
  <c r="K4" i="1" l="1"/>
  <c r="B19" i="1"/>
  <c r="K2" i="1"/>
  <c r="I19" i="1"/>
</calcChain>
</file>

<file path=xl/sharedStrings.xml><?xml version="1.0" encoding="utf-8"?>
<sst xmlns="http://schemas.openxmlformats.org/spreadsheetml/2006/main" count="51" uniqueCount="27">
  <si>
    <t>Ticker</t>
  </si>
  <si>
    <t>Size of Trade</t>
  </si>
  <si>
    <t>Price of Trade</t>
  </si>
  <si>
    <t>String</t>
  </si>
  <si>
    <t>Long</t>
  </si>
  <si>
    <t>Double</t>
  </si>
  <si>
    <t>Buy</t>
  </si>
  <si>
    <t>MKT</t>
  </si>
  <si>
    <t>Sell</t>
  </si>
  <si>
    <t>LMT</t>
  </si>
  <si>
    <t>MAPL</t>
  </si>
  <si>
    <t>Position</t>
  </si>
  <si>
    <t>Last</t>
  </si>
  <si>
    <t>Bid</t>
  </si>
  <si>
    <t>Ask</t>
  </si>
  <si>
    <t>Volume</t>
  </si>
  <si>
    <t>Cost</t>
  </si>
  <si>
    <t>COLD</t>
  </si>
  <si>
    <t>CND</t>
  </si>
  <si>
    <t>Time Remaining</t>
  </si>
  <si>
    <t>Total P&amp;L</t>
  </si>
  <si>
    <t xml:space="preserve"> </t>
  </si>
  <si>
    <t>ALGO</t>
  </si>
  <si>
    <t>Tender Offers</t>
  </si>
  <si>
    <t>ID,ticker,volume,price,   ,expiration tick</t>
  </si>
  <si>
    <t>ID</t>
  </si>
  <si>
    <t>BID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</si>
</sst>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e">
        <v>#N/A</v>
        <stp/>
        <stp>CND</stp>
        <stp>BID</stp>
        <tr r="D22" s="1"/>
      </tp>
      <tp t="e">
        <v>#N/A</v>
        <stp/>
        <stp>CND</stp>
        <stp>ASK</stp>
        <tr r="E22" s="1"/>
      </tp>
      <tp t="e">
        <v>#N/A</v>
        <stp/>
        <stp>TENDERINFO</stp>
        <stp>3</stp>
        <tr r="M4" s="1"/>
      </tp>
      <tp t="e">
        <v>#N/A</v>
        <stp/>
        <stp>TENDERINFO</stp>
        <stp>2</stp>
        <tr r="M3" s="1"/>
      </tp>
      <tp t="e">
        <v>#N/A</v>
        <stp/>
        <stp>TENDERINFO</stp>
        <stp>1</stp>
        <tr r="M2" s="1"/>
      </tp>
      <tp t="e">
        <v>#N/A</v>
        <stp/>
        <stp>MAPL</stp>
        <stp>POSITION</stp>
        <tr r="B20" s="1"/>
      </tp>
      <tp t="e">
        <v>#N/A</v>
        <stp/>
        <stp>COLD</stp>
        <stp>VOLUME</stp>
        <tr r="F21" s="1"/>
      </tp>
      <tp t="e">
        <v>#N/A</v>
        <stp/>
        <stp>ALGO</stp>
        <stp>VOLUME</stp>
        <tr r="F19" s="1"/>
      </tp>
      <tp t="e">
        <v>#N/A</v>
        <stp/>
        <stp>TIMEREMAINING</stp>
        <tr r="K2" s="1"/>
      </tp>
      <tp t="e">
        <v>#N/A</v>
        <stp/>
        <stp>CND</stp>
        <stp>POSITION</stp>
        <tr r="B22" s="1"/>
      </tp>
      <tp t="e">
        <v>#N/A</v>
        <stp/>
        <stp>COLD</stp>
        <stp>POSITION</stp>
        <tr r="B21" s="1"/>
      </tp>
      <tp t="e">
        <v>#N/A</v>
        <stp/>
        <stp>PL</stp>
        <tr r="I19" s="1"/>
      </tp>
      <tp t="e">
        <v>#N/A</v>
        <stp/>
        <stp>ALGO</stp>
        <stp>POSITION</stp>
        <tr r="B19" s="1"/>
      </tp>
      <tp t="e">
        <v>#N/A</v>
        <stp/>
        <stp>MAPL</stp>
        <stp>VOLUME</stp>
        <tr r="F20" s="1"/>
      </tp>
      <tp t="e">
        <v>#N/A</v>
        <stp/>
        <stp>MAPL</stp>
        <stp>COST</stp>
        <tr r="G20" s="1"/>
      </tp>
      <tp t="e">
        <v>#N/A</v>
        <stp/>
        <stp>CND</stp>
        <stp>VOLUME</stp>
        <tr r="F22" s="1"/>
      </tp>
      <tp t="e">
        <v>#N/A</v>
        <stp/>
        <stp>MAPL</stp>
        <stp>LAST</stp>
        <tr r="C20" s="1"/>
      </tp>
      <tp t="e">
        <v>#N/A</v>
        <stp/>
        <stp>COLD</stp>
        <stp>ASK</stp>
        <tr r="E21" s="1"/>
      </tp>
      <tp t="e">
        <v>#N/A</v>
        <stp/>
        <stp>ALGO</stp>
        <stp>BID</stp>
        <tr r="D19" s="1"/>
      </tp>
      <tp t="e">
        <v>#N/A</v>
        <stp/>
        <stp>COLD</stp>
        <stp>LAST</stp>
        <tr r="C21" s="1"/>
      </tp>
      <tp t="e">
        <v>#N/A</v>
        <stp/>
        <stp>CND</stp>
        <stp>LAST</stp>
        <tr r="C22" s="1"/>
      </tp>
      <tp t="e">
        <v>#N/A</v>
        <stp/>
        <stp>ALGO</stp>
        <stp>ASK</stp>
        <tr r="E19" s="1"/>
      </tp>
      <tp t="e">
        <v>#N/A</v>
        <stp/>
        <stp>COLD</stp>
        <stp>BID</stp>
        <tr r="D21" s="1"/>
      </tp>
      <tp t="e">
        <v>#N/A</v>
        <stp/>
        <stp>ALGO</stp>
        <stp>COST</stp>
        <tr r="G19" s="1"/>
      </tp>
      <tp t="e">
        <v>#N/A</v>
        <stp/>
        <stp>ALGO</stp>
        <stp>LAST</stp>
        <tr r="C19" s="1"/>
      </tp>
      <tp t="e">
        <v>#N/A</v>
        <stp/>
        <stp>MAPL</stp>
        <stp>BID</stp>
        <tr r="D20" s="1"/>
      </tp>
      <tp t="e">
        <v>#N/A</v>
        <stp/>
        <stp>MAPL</stp>
        <stp>ASK</stp>
        <tr r="E20" s="1"/>
      </tp>
      <tp t="e">
        <v>#N/A</v>
        <stp/>
        <stp>COLD</stp>
        <stp>COST</stp>
        <tr r="G21" s="1"/>
      </tp>
      <tp t="e">
        <v>#N/A</v>
        <stp/>
        <stp>CND</stp>
        <stp>COST</stp>
        <tr r="G2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7</xdr:col>
          <xdr:colOff>133350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Limit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133350</xdr:rowOff>
        </xdr:from>
        <xdr:to>
          <xdr:col>7</xdr:col>
          <xdr:colOff>142875</xdr:colOff>
          <xdr:row>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Market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133350</xdr:rowOff>
        </xdr:from>
        <xdr:to>
          <xdr:col>7</xdr:col>
          <xdr:colOff>133350</xdr:colOff>
          <xdr:row>10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Limit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1200150</xdr:colOff>
          <xdr:row>12</xdr:row>
          <xdr:rowOff>104775</xdr:rowOff>
        </xdr:from>
        <xdr:to>
          <xdr:col>7</xdr:col>
          <xdr:colOff>180975</xdr:colOff>
          <xdr:row>14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Market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8</xdr:row>
          <xdr:rowOff>133350</xdr:rowOff>
        </xdr:from>
        <xdr:to>
          <xdr:col>13</xdr:col>
          <xdr:colOff>361950</xdr:colOff>
          <xdr:row>9</xdr:row>
          <xdr:rowOff>228600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Accept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8</xdr:row>
          <xdr:rowOff>133350</xdr:rowOff>
        </xdr:from>
        <xdr:to>
          <xdr:col>15</xdr:col>
          <xdr:colOff>285750</xdr:colOff>
          <xdr:row>9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Decline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11</xdr:row>
          <xdr:rowOff>38100</xdr:rowOff>
        </xdr:from>
        <xdr:to>
          <xdr:col>10</xdr:col>
          <xdr:colOff>390525</xdr:colOff>
          <xdr:row>14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Positions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643E-8098-4AB1-976F-E7C9A707D86D}">
  <sheetPr codeName="Sheet1"/>
  <dimension ref="A1:N26"/>
  <sheetViews>
    <sheetView tabSelected="1" workbookViewId="0">
      <selection activeCell="O16" sqref="O16"/>
    </sheetView>
  </sheetViews>
  <sheetFormatPr defaultRowHeight="15" x14ac:dyDescent="0.25"/>
  <cols>
    <col min="2" max="2" width="11.42578125" bestFit="1" customWidth="1"/>
    <col min="3" max="3" width="12.28515625" bestFit="1" customWidth="1"/>
    <col min="4" max="4" width="16.42578125" bestFit="1" customWidth="1"/>
    <col min="5" max="5" width="11.28515625" customWidth="1"/>
    <col min="8" max="8" width="13.42578125" bestFit="1" customWidth="1"/>
    <col min="11" max="11" width="16.28515625" customWidth="1"/>
  </cols>
  <sheetData>
    <row r="1" spans="1:14" x14ac:dyDescent="0.25">
      <c r="A1" t="s">
        <v>0</v>
      </c>
      <c r="B1" t="s">
        <v>1</v>
      </c>
      <c r="C1" t="s">
        <v>2</v>
      </c>
      <c r="K1" t="s">
        <v>19</v>
      </c>
      <c r="M1" t="s">
        <v>23</v>
      </c>
    </row>
    <row r="2" spans="1:14" x14ac:dyDescent="0.25">
      <c r="A2" t="str">
        <f>I8</f>
        <v>ALGO</v>
      </c>
      <c r="B2">
        <f>I9</f>
        <v>5000</v>
      </c>
      <c r="C2">
        <v>19.91</v>
      </c>
      <c r="D2" t="s">
        <v>6</v>
      </c>
      <c r="E2" t="s">
        <v>9</v>
      </c>
      <c r="K2" t="e">
        <f>RTD("rit2.rtd",,"TIMEREMAINING")</f>
        <v>#N/A</v>
      </c>
      <c r="M2" t="e">
        <f>RTD("rit2.rtd",,"TENDERINFO",1)</f>
        <v>#N/A</v>
      </c>
    </row>
    <row r="3" spans="1:14" x14ac:dyDescent="0.25">
      <c r="A3" t="s">
        <v>3</v>
      </c>
      <c r="B3" t="s">
        <v>4</v>
      </c>
      <c r="C3" t="s">
        <v>5</v>
      </c>
      <c r="M3" t="e">
        <f>RTD("rit2.rtd",,"TENDERINFO",2)</f>
        <v>#N/A</v>
      </c>
    </row>
    <row r="4" spans="1:14" x14ac:dyDescent="0.25">
      <c r="K4" t="e">
        <f ca="1">RandomShit(K2)</f>
        <v>#NAME?</v>
      </c>
      <c r="M4" t="e">
        <f>RTD("rit2.rtd",,"TENDERINFO",3)</f>
        <v>#N/A</v>
      </c>
    </row>
    <row r="5" spans="1:14" x14ac:dyDescent="0.25">
      <c r="A5" t="s">
        <v>0</v>
      </c>
      <c r="B5" t="s">
        <v>1</v>
      </c>
      <c r="C5" t="s">
        <v>2</v>
      </c>
      <c r="M5" t="s">
        <v>24</v>
      </c>
    </row>
    <row r="6" spans="1:14" x14ac:dyDescent="0.25">
      <c r="A6" t="str">
        <f>I8</f>
        <v>ALGO</v>
      </c>
      <c r="B6">
        <f>I9</f>
        <v>5000</v>
      </c>
      <c r="C6">
        <v>1</v>
      </c>
      <c r="D6" t="s">
        <v>6</v>
      </c>
      <c r="E6" t="s">
        <v>7</v>
      </c>
    </row>
    <row r="7" spans="1:14" x14ac:dyDescent="0.25">
      <c r="A7" t="s">
        <v>3</v>
      </c>
      <c r="B7" t="s">
        <v>4</v>
      </c>
      <c r="C7" t="s">
        <v>5</v>
      </c>
      <c r="M7" t="s">
        <v>25</v>
      </c>
      <c r="N7" t="s">
        <v>26</v>
      </c>
    </row>
    <row r="8" spans="1:14" ht="23.25" x14ac:dyDescent="0.35">
      <c r="I8" s="1" t="s">
        <v>22</v>
      </c>
      <c r="M8">
        <v>1</v>
      </c>
      <c r="N8">
        <v>0</v>
      </c>
    </row>
    <row r="9" spans="1:14" ht="23.25" x14ac:dyDescent="0.35">
      <c r="A9" t="s">
        <v>0</v>
      </c>
      <c r="B9" t="s">
        <v>1</v>
      </c>
      <c r="C9" t="s">
        <v>2</v>
      </c>
      <c r="I9" s="1">
        <v>5000</v>
      </c>
    </row>
    <row r="10" spans="1:14" ht="23.25" x14ac:dyDescent="0.35">
      <c r="A10" t="str">
        <f>I8</f>
        <v>ALGO</v>
      </c>
      <c r="B10">
        <f>I9</f>
        <v>5000</v>
      </c>
      <c r="C10">
        <v>19.91</v>
      </c>
      <c r="D10" t="s">
        <v>8</v>
      </c>
      <c r="E10" t="s">
        <v>9</v>
      </c>
      <c r="I10" s="1">
        <v>5</v>
      </c>
    </row>
    <row r="11" spans="1:14" x14ac:dyDescent="0.25">
      <c r="A11" t="s">
        <v>3</v>
      </c>
      <c r="B11" t="s">
        <v>4</v>
      </c>
      <c r="C11" t="s">
        <v>5</v>
      </c>
    </row>
    <row r="13" spans="1:14" x14ac:dyDescent="0.25">
      <c r="A13" t="s">
        <v>0</v>
      </c>
      <c r="B13" t="s">
        <v>1</v>
      </c>
      <c r="C13" t="s">
        <v>2</v>
      </c>
    </row>
    <row r="14" spans="1:14" x14ac:dyDescent="0.25">
      <c r="A14" t="str">
        <f>I8</f>
        <v>ALGO</v>
      </c>
      <c r="B14">
        <f>I9</f>
        <v>5000</v>
      </c>
      <c r="C14">
        <v>1</v>
      </c>
      <c r="D14" t="s">
        <v>8</v>
      </c>
      <c r="E14" t="s">
        <v>7</v>
      </c>
    </row>
    <row r="15" spans="1:14" x14ac:dyDescent="0.25">
      <c r="A15" t="s">
        <v>3</v>
      </c>
      <c r="B15" t="s">
        <v>4</v>
      </c>
      <c r="C15" t="s">
        <v>5</v>
      </c>
    </row>
    <row r="18" spans="1:14" x14ac:dyDescent="0.25">
      <c r="A18" t="s">
        <v>0</v>
      </c>
      <c r="B18" t="s">
        <v>11</v>
      </c>
      <c r="C18" t="s">
        <v>12</v>
      </c>
      <c r="D18" t="s">
        <v>13</v>
      </c>
      <c r="E18" t="s">
        <v>14</v>
      </c>
      <c r="F18" t="s">
        <v>15</v>
      </c>
      <c r="G18" t="s">
        <v>16</v>
      </c>
      <c r="I18" t="s">
        <v>20</v>
      </c>
    </row>
    <row r="19" spans="1:14" x14ac:dyDescent="0.25">
      <c r="A19" t="s">
        <v>22</v>
      </c>
      <c r="B19" t="e">
        <f>RTD("rit2.rtd",,A19, "POSITION")</f>
        <v>#N/A</v>
      </c>
      <c r="C19" t="e">
        <f>RTD("rit2.rtd",,A19, "LAST")</f>
        <v>#N/A</v>
      </c>
      <c r="D19" t="e">
        <f>RTD("rit2.rtd",,A19, "BID")</f>
        <v>#N/A</v>
      </c>
      <c r="E19" t="e">
        <f>RTD("rit2.rtd",,A19, "ASK")</f>
        <v>#N/A</v>
      </c>
      <c r="F19" t="e">
        <f>RTD("rit2.rtd",,A19, "VOLUME")</f>
        <v>#N/A</v>
      </c>
      <c r="G19" t="e">
        <f>RTD("rit2.rtd",,A19, "COST")</f>
        <v>#N/A</v>
      </c>
      <c r="I19" t="e">
        <f>RTD("rit2.rtd",, "PL")</f>
        <v>#N/A</v>
      </c>
    </row>
    <row r="20" spans="1:14" x14ac:dyDescent="0.25">
      <c r="A20" t="s">
        <v>10</v>
      </c>
      <c r="B20" t="e">
        <f>RTD("rit2.rtd",,A20, "POSITION")</f>
        <v>#N/A</v>
      </c>
      <c r="C20" t="e">
        <f>RTD("rit2.rtd",,A20, "LAST")</f>
        <v>#N/A</v>
      </c>
      <c r="D20" t="e">
        <f>RTD("rit2.rtd",,A20, "BID")</f>
        <v>#N/A</v>
      </c>
      <c r="E20" t="e">
        <f>RTD("rit2.rtd",,A20, "ASK")</f>
        <v>#N/A</v>
      </c>
      <c r="F20" t="e">
        <f>RTD("rit2.rtd",,A20, "VOLUME")</f>
        <v>#N/A</v>
      </c>
      <c r="G20" t="e">
        <f>RTD("rit2.rtd",,A20, "COST")</f>
        <v>#N/A</v>
      </c>
    </row>
    <row r="21" spans="1:14" x14ac:dyDescent="0.25">
      <c r="A21" t="s">
        <v>17</v>
      </c>
      <c r="B21" t="e">
        <f>RTD("rit2.rtd",,A21, "POSITION")</f>
        <v>#N/A</v>
      </c>
      <c r="C21" t="e">
        <f>RTD("rit2.rtd",,A21, "LAST")</f>
        <v>#N/A</v>
      </c>
      <c r="D21" t="e">
        <f>RTD("rit2.rtd",,A21, "BID")</f>
        <v>#N/A</v>
      </c>
      <c r="E21" t="e">
        <f>RTD("rit2.rtd",,A21, "ASK")</f>
        <v>#N/A</v>
      </c>
      <c r="F21" t="e">
        <f>RTD("rit2.rtd",,A21, "VOLUME")</f>
        <v>#N/A</v>
      </c>
      <c r="G21" t="e">
        <f>RTD("rit2.rtd",,A21, "COST")</f>
        <v>#N/A</v>
      </c>
    </row>
    <row r="22" spans="1:14" x14ac:dyDescent="0.25">
      <c r="A22" t="s">
        <v>18</v>
      </c>
      <c r="B22" t="e">
        <f>RTD("rit2.rtd",,A22, "POSITION")</f>
        <v>#N/A</v>
      </c>
      <c r="C22" t="e">
        <f>RTD("rit2.rtd",,A22, "LAST")</f>
        <v>#N/A</v>
      </c>
      <c r="D22" t="e">
        <f>RTD("rit2.rtd",,A22, "BID")</f>
        <v>#N/A</v>
      </c>
      <c r="E22" t="e">
        <f>RTD("rit2.rtd",,A22, "ASK")</f>
        <v>#N/A</v>
      </c>
      <c r="F22" t="e">
        <f>RTD("rit2.rtd",,A22, "VOLUME")</f>
        <v>#N/A</v>
      </c>
      <c r="G22" t="e">
        <f>RTD("rit2.rtd",,A22, "COST")</f>
        <v>#N/A</v>
      </c>
    </row>
    <row r="26" spans="1:14" x14ac:dyDescent="0.25">
      <c r="N26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yLmt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7</xdr:col>
                    <xdr:colOff>133350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yMkt">
                <anchor moveWithCells="1" sizeWithCells="1">
                  <from>
                    <xdr:col>5</xdr:col>
                    <xdr:colOff>47625</xdr:colOff>
                    <xdr:row>4</xdr:row>
                    <xdr:rowOff>133350</xdr:rowOff>
                  </from>
                  <to>
                    <xdr:col>7</xdr:col>
                    <xdr:colOff>142875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ellLmt">
                <anchor moveWithCells="1" sizeWithCells="1">
                  <from>
                    <xdr:col>5</xdr:col>
                    <xdr:colOff>0</xdr:colOff>
                    <xdr:row>8</xdr:row>
                    <xdr:rowOff>133350</xdr:rowOff>
                  </from>
                  <to>
                    <xdr:col>7</xdr:col>
                    <xdr:colOff>133350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llMkt">
                <anchor moveWithCells="1" sizeWithCells="1">
                  <from>
                    <xdr:col>4</xdr:col>
                    <xdr:colOff>1200150</xdr:colOff>
                    <xdr:row>12</xdr:row>
                    <xdr:rowOff>104775</xdr:rowOff>
                  </from>
                  <to>
                    <xdr:col>7</xdr:col>
                    <xdr:colOff>180975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AcceptTender">
                <anchor moveWithCells="1" sizeWithCells="1">
                  <from>
                    <xdr:col>12</xdr:col>
                    <xdr:colOff>47625</xdr:colOff>
                    <xdr:row>8</xdr:row>
                    <xdr:rowOff>133350</xdr:rowOff>
                  </from>
                  <to>
                    <xdr:col>13</xdr:col>
                    <xdr:colOff>361950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DeclineTender">
                <anchor moveWithCells="1" sizeWithCells="1">
                  <from>
                    <xdr:col>13</xdr:col>
                    <xdr:colOff>561975</xdr:colOff>
                    <xdr:row>8</xdr:row>
                    <xdr:rowOff>133350</xdr:rowOff>
                  </from>
                  <to>
                    <xdr:col>15</xdr:col>
                    <xdr:colOff>285750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ClosePositions">
                <anchor moveWithCells="1" sizeWithCells="1">
                  <from>
                    <xdr:col>8</xdr:col>
                    <xdr:colOff>247650</xdr:colOff>
                    <xdr:row>11</xdr:row>
                    <xdr:rowOff>38100</xdr:rowOff>
                  </from>
                  <to>
                    <xdr:col>10</xdr:col>
                    <xdr:colOff>390525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Lai</dc:creator>
  <cp:lastModifiedBy>Kevin Lai</cp:lastModifiedBy>
  <dcterms:created xsi:type="dcterms:W3CDTF">2020-01-10T05:37:57Z</dcterms:created>
  <dcterms:modified xsi:type="dcterms:W3CDTF">2021-11-25T01:47:51Z</dcterms:modified>
</cp:coreProperties>
</file>